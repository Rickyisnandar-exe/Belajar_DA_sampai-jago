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 LAPTOP\Downloads\"/>
    </mc:Choice>
  </mc:AlternateContent>
  <xr:revisionPtr revIDLastSave="0" documentId="13_ncr:1_{DF36B6F9-E038-49E8-AC1F-5BD721A8FD72}" xr6:coauthVersionLast="47" xr6:coauthVersionMax="47" xr10:uidLastSave="{00000000-0000-0000-0000-000000000000}"/>
  <bookViews>
    <workbookView xWindow="-110" yWindow="-110" windowWidth="19420" windowHeight="11500" activeTab="2" xr2:uid="{425797E6-C4FD-417F-87F2-574CA2A723B1}"/>
  </bookViews>
  <sheets>
    <sheet name="Sheet1" sheetId="1" r:id="rId1"/>
    <sheet name="Sheet3" sheetId="3" r:id="rId2"/>
    <sheet name="Sheet4" sheetId="4" r:id="rId3"/>
    <sheet name="Sheet2" sheetId="2" r:id="rId4"/>
  </sheets>
  <calcPr calcId="191029"/>
  <pivotCaches>
    <pivotCache cacheId="0" r:id="rId5"/>
    <pivotCache cacheId="1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2" i="2"/>
  <c r="H3" i="2"/>
  <c r="H4" i="2"/>
  <c r="H5" i="2"/>
  <c r="H6" i="2"/>
  <c r="H7" i="2"/>
  <c r="H8" i="2"/>
  <c r="H9" i="2"/>
  <c r="H2" i="2"/>
  <c r="G3" i="2"/>
  <c r="G4" i="2"/>
  <c r="G5" i="2"/>
  <c r="G6" i="2"/>
  <c r="G7" i="2"/>
  <c r="G8" i="2"/>
  <c r="G9" i="2"/>
  <c r="G2" i="2"/>
  <c r="E15" i="1"/>
  <c r="E14" i="1"/>
  <c r="C13" i="1"/>
  <c r="E12" i="1"/>
  <c r="F11" i="1"/>
  <c r="E10" i="1"/>
  <c r="G3" i="1"/>
  <c r="G4" i="1"/>
  <c r="G5" i="1"/>
  <c r="G6" i="1"/>
  <c r="G7" i="1"/>
  <c r="G8" i="1"/>
  <c r="G9" i="1"/>
  <c r="G2" i="1"/>
</calcChain>
</file>

<file path=xl/sharedStrings.xml><?xml version="1.0" encoding="utf-8"?>
<sst xmlns="http://schemas.openxmlformats.org/spreadsheetml/2006/main" count="80" uniqueCount="28">
  <si>
    <t>Produk</t>
  </si>
  <si>
    <t>Harga</t>
  </si>
  <si>
    <t>Kopi</t>
  </si>
  <si>
    <t>ID</t>
  </si>
  <si>
    <t>Tanggal</t>
  </si>
  <si>
    <t>Kota</t>
  </si>
  <si>
    <t>Qty</t>
  </si>
  <si>
    <t>Jakarta</t>
  </si>
  <si>
    <t>Bandung</t>
  </si>
  <si>
    <t>Teh</t>
  </si>
  <si>
    <t>Surabaya</t>
  </si>
  <si>
    <t>Hasil</t>
  </si>
  <si>
    <t>Rata-Rata</t>
  </si>
  <si>
    <t>Jumlah</t>
  </si>
  <si>
    <t>Transaksi</t>
  </si>
  <si>
    <t>trasaksi jakarta</t>
  </si>
  <si>
    <t>total qty khusus jakarta</t>
  </si>
  <si>
    <t>total qty khusus jakarta dan kopi</t>
  </si>
  <si>
    <t>Total</t>
  </si>
  <si>
    <t>Row Labels</t>
  </si>
  <si>
    <t>Grand Total</t>
  </si>
  <si>
    <t>Sum of Total</t>
  </si>
  <si>
    <t>Column Labels</t>
  </si>
  <si>
    <t>Kategori</t>
  </si>
  <si>
    <t>Minuman panas</t>
  </si>
  <si>
    <t>Minuman hangat</t>
  </si>
  <si>
    <t>harga produk</t>
  </si>
  <si>
    <t>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</si>
</sst>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  <scheme val="minor"/>
    </font>
    <font>
      <b/>
      <sz val="11"/>
      <color theme="1"/>
      <name val="Aptos Narrow"/>
      <family val="2"/>
      <charset val="1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Y LAPTOP" refreshedDate="46319.791396759261" createdVersion="8" refreshedVersion="8" minRefreshableVersion="3" recordCount="8" xr:uid="{AE64D0DA-9A2B-49A0-813A-F5E44DC406D6}">
  <cacheSource type="worksheet">
    <worksheetSource ref="A1:G9" sheet="Sheet2"/>
  </cacheSource>
  <cacheFields count="7">
    <cacheField name="ID" numFmtId="0">
      <sharedItems containsSemiMixedTypes="0" containsString="0" containsNumber="1" containsInteger="1" minValue="1" maxValue="8"/>
    </cacheField>
    <cacheField name="Tanggal" numFmtId="14">
      <sharedItems containsSemiMixedTypes="0" containsNonDate="0" containsDate="1" containsString="0" minDate="2026-10-01T00:00:00" maxDate="2026-10-06T00:00:00"/>
    </cacheField>
    <cacheField name="Kota" numFmtId="0">
      <sharedItems count="3">
        <s v="Jakarta"/>
        <s v="Bandung"/>
        <s v="Surabaya"/>
      </sharedItems>
    </cacheField>
    <cacheField name="Produk" numFmtId="0">
      <sharedItems count="2">
        <s v="Kopi"/>
        <s v="Teh"/>
      </sharedItems>
    </cacheField>
    <cacheField name="Qty" numFmtId="0">
      <sharedItems containsSemiMixedTypes="0" containsString="0" containsNumber="1" containsInteger="1" minValue="4" maxValue="15"/>
    </cacheField>
    <cacheField name="Harga" numFmtId="0">
      <sharedItems containsSemiMixedTypes="0" containsString="0" containsNumber="1" containsInteger="1" minValue="20000" maxValue="25000"/>
    </cacheField>
    <cacheField name="Total" numFmtId="0">
      <sharedItems containsSemiMixedTypes="0" containsString="0" containsNumber="1" containsInteger="1" minValue="80000" maxValue="37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Y LAPTOP" refreshedDate="46320.349324537034" createdVersion="8" refreshedVersion="8" minRefreshableVersion="3" recordCount="8" xr:uid="{B717F888-557E-447A-91AE-9EAADD7AA4F2}">
  <cacheSource type="worksheet">
    <worksheetSource ref="A1:J9" sheet="Sheet2"/>
  </cacheSource>
  <cacheFields count="10">
    <cacheField name="ID" numFmtId="0">
      <sharedItems containsSemiMixedTypes="0" containsString="0" containsNumber="1" containsInteger="1" minValue="1" maxValue="8"/>
    </cacheField>
    <cacheField name="Tanggal" numFmtId="14">
      <sharedItems containsSemiMixedTypes="0" containsNonDate="0" containsDate="1" containsString="0" minDate="2026-10-01T00:00:00" maxDate="2026-10-06T00:00:00"/>
    </cacheField>
    <cacheField name="Kota" numFmtId="0">
      <sharedItems/>
    </cacheField>
    <cacheField name="Produk" numFmtId="0">
      <sharedItems/>
    </cacheField>
    <cacheField name="Qty" numFmtId="0">
      <sharedItems containsSemiMixedTypes="0" containsString="0" containsNumber="1" containsInteger="1" minValue="4" maxValue="15"/>
    </cacheField>
    <cacheField name="Harga" numFmtId="0">
      <sharedItems containsSemiMixedTypes="0" containsString="0" containsNumber="1" containsInteger="1" minValue="20000" maxValue="25000"/>
    </cacheField>
    <cacheField name="Total" numFmtId="0">
      <sharedItems containsSemiMixedTypes="0" containsString="0" containsNumber="1" containsInteger="1" minValue="80000" maxValue="375000"/>
    </cacheField>
    <cacheField name="Kategori" numFmtId="0">
      <sharedItems count="2">
        <s v="Minuman panas"/>
        <s v="Minuman hangat"/>
      </sharedItems>
    </cacheField>
    <cacheField name="Produk2" numFmtId="0">
      <sharedItems containsBlank="1" count="3">
        <s v="Kopi"/>
        <s v="Teh"/>
        <m/>
      </sharedItems>
    </cacheField>
    <cacheField name="Kategori2" numFmtId="0">
      <sharedItems containsBlank="1" count="3">
        <s v="Minuman panas"/>
        <s v="Minuman hanga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1"/>
    <d v="2026-10-01T00:00:00"/>
    <x v="0"/>
    <x v="0"/>
    <n v="10"/>
    <n v="25000"/>
    <n v="250000"/>
  </r>
  <r>
    <n v="2"/>
    <d v="2026-10-01T00:00:00"/>
    <x v="1"/>
    <x v="1"/>
    <n v="5"/>
    <n v="20000"/>
    <n v="100000"/>
  </r>
  <r>
    <n v="3"/>
    <d v="2026-10-02T00:00:00"/>
    <x v="0"/>
    <x v="1"/>
    <n v="8"/>
    <n v="20000"/>
    <n v="160000"/>
  </r>
  <r>
    <n v="4"/>
    <d v="2026-10-03T00:00:00"/>
    <x v="2"/>
    <x v="0"/>
    <n v="12"/>
    <n v="25000"/>
    <n v="300000"/>
  </r>
  <r>
    <n v="5"/>
    <d v="2026-10-03T00:00:00"/>
    <x v="1"/>
    <x v="0"/>
    <n v="6"/>
    <n v="25000"/>
    <n v="150000"/>
  </r>
  <r>
    <n v="6"/>
    <d v="2026-10-04T00:00:00"/>
    <x v="0"/>
    <x v="0"/>
    <n v="15"/>
    <n v="25000"/>
    <n v="375000"/>
  </r>
  <r>
    <n v="7"/>
    <d v="2026-10-05T00:00:00"/>
    <x v="2"/>
    <x v="1"/>
    <n v="9"/>
    <n v="20000"/>
    <n v="180000"/>
  </r>
  <r>
    <n v="8"/>
    <d v="2026-10-05T00:00:00"/>
    <x v="0"/>
    <x v="1"/>
    <n v="4"/>
    <n v="20000"/>
    <n v="80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1"/>
    <d v="2026-10-01T00:00:00"/>
    <s v="Jakarta"/>
    <s v="Kopi"/>
    <n v="10"/>
    <n v="25000"/>
    <n v="250000"/>
    <x v="0"/>
    <x v="0"/>
    <x v="0"/>
  </r>
  <r>
    <n v="2"/>
    <d v="2026-10-01T00:00:00"/>
    <s v="Bandung"/>
    <s v="Teh"/>
    <n v="5"/>
    <n v="20000"/>
    <n v="100000"/>
    <x v="1"/>
    <x v="1"/>
    <x v="1"/>
  </r>
  <r>
    <n v="3"/>
    <d v="2026-10-02T00:00:00"/>
    <s v="Jakarta"/>
    <s v="Teh"/>
    <n v="8"/>
    <n v="20000"/>
    <n v="160000"/>
    <x v="1"/>
    <x v="2"/>
    <x v="2"/>
  </r>
  <r>
    <n v="4"/>
    <d v="2026-10-03T00:00:00"/>
    <s v="Surabaya"/>
    <s v="Kopi"/>
    <n v="12"/>
    <n v="25000"/>
    <n v="300000"/>
    <x v="0"/>
    <x v="2"/>
    <x v="2"/>
  </r>
  <r>
    <n v="5"/>
    <d v="2026-10-03T00:00:00"/>
    <s v="Bandung"/>
    <s v="Kopi"/>
    <n v="6"/>
    <n v="25000"/>
    <n v="150000"/>
    <x v="0"/>
    <x v="2"/>
    <x v="2"/>
  </r>
  <r>
    <n v="6"/>
    <d v="2026-10-04T00:00:00"/>
    <s v="Jakarta"/>
    <s v="Kopi"/>
    <n v="15"/>
    <n v="25000"/>
    <n v="375000"/>
    <x v="0"/>
    <x v="2"/>
    <x v="2"/>
  </r>
  <r>
    <n v="7"/>
    <d v="2026-10-05T00:00:00"/>
    <s v="Surabaya"/>
    <s v="Teh"/>
    <n v="9"/>
    <n v="20000"/>
    <n v="180000"/>
    <x v="1"/>
    <x v="2"/>
    <x v="2"/>
  </r>
  <r>
    <n v="8"/>
    <d v="2026-10-05T00:00:00"/>
    <s v="Jakarta"/>
    <s v="Teh"/>
    <n v="4"/>
    <n v="20000"/>
    <n v="80000"/>
    <x v="1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FBE8D3-01F4-470E-99FD-60C70F7C38B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7">
    <pivotField showAll="0"/>
    <pivotField numFmtId="14" showAll="0"/>
    <pivotField axis="axisRow" showAll="0">
      <items count="4">
        <item x="1"/>
        <item x="0"/>
        <item x="2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Total" fld="6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A995E3-DF71-48E1-ADDF-6D2AEA6D6A90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3">
        <item x="1"/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Sum of Total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5A96C-F70A-4403-963D-BB1872EF70CF}">
  <dimension ref="A1:G15"/>
  <sheetViews>
    <sheetView workbookViewId="0">
      <selection activeCell="E15" sqref="E15"/>
    </sheetView>
  </sheetViews>
  <sheetFormatPr defaultRowHeight="14.5" x14ac:dyDescent="0.35"/>
  <cols>
    <col min="2" max="2" width="10.26953125" customWidth="1"/>
  </cols>
  <sheetData>
    <row r="1" spans="1:7" x14ac:dyDescent="0.35">
      <c r="A1" s="2" t="s">
        <v>3</v>
      </c>
      <c r="B1" s="2" t="s">
        <v>4</v>
      </c>
      <c r="C1" s="2" t="s">
        <v>5</v>
      </c>
      <c r="D1" s="2" t="s">
        <v>0</v>
      </c>
      <c r="E1" s="2" t="s">
        <v>6</v>
      </c>
      <c r="F1" s="2" t="s">
        <v>1</v>
      </c>
      <c r="G1" s="5" t="s">
        <v>11</v>
      </c>
    </row>
    <row r="2" spans="1:7" x14ac:dyDescent="0.35">
      <c r="A2" s="3">
        <v>1</v>
      </c>
      <c r="B2" s="4">
        <v>46296</v>
      </c>
      <c r="C2" s="3" t="s">
        <v>7</v>
      </c>
      <c r="D2" s="3" t="s">
        <v>2</v>
      </c>
      <c r="E2" s="3">
        <v>10</v>
      </c>
      <c r="F2" s="3">
        <v>25000</v>
      </c>
      <c r="G2" t="str">
        <f>IF(F2&gt;=25000, "Premium", "Biasa")</f>
        <v>Premium</v>
      </c>
    </row>
    <row r="3" spans="1:7" x14ac:dyDescent="0.35">
      <c r="A3" s="3">
        <v>2</v>
      </c>
      <c r="B3" s="4">
        <v>46296</v>
      </c>
      <c r="C3" s="3" t="s">
        <v>8</v>
      </c>
      <c r="D3" s="3" t="s">
        <v>9</v>
      </c>
      <c r="E3" s="3">
        <v>5</v>
      </c>
      <c r="F3" s="3">
        <v>20000</v>
      </c>
      <c r="G3" t="str">
        <f t="shared" ref="G3:G9" si="0">IF(F3&gt;=25000, "Premium", "Biasa")</f>
        <v>Biasa</v>
      </c>
    </row>
    <row r="4" spans="1:7" x14ac:dyDescent="0.35">
      <c r="A4" s="3">
        <v>3</v>
      </c>
      <c r="B4" s="4">
        <v>46297</v>
      </c>
      <c r="C4" s="3" t="s">
        <v>7</v>
      </c>
      <c r="D4" s="3" t="s">
        <v>9</v>
      </c>
      <c r="E4" s="3">
        <v>8</v>
      </c>
      <c r="F4" s="3">
        <v>20000</v>
      </c>
      <c r="G4" t="str">
        <f t="shared" si="0"/>
        <v>Biasa</v>
      </c>
    </row>
    <row r="5" spans="1:7" x14ac:dyDescent="0.35">
      <c r="A5" s="3">
        <v>4</v>
      </c>
      <c r="B5" s="4">
        <v>46298</v>
      </c>
      <c r="C5" s="3" t="s">
        <v>10</v>
      </c>
      <c r="D5" s="3" t="s">
        <v>2</v>
      </c>
      <c r="E5" s="3">
        <v>12</v>
      </c>
      <c r="F5" s="3">
        <v>25000</v>
      </c>
      <c r="G5" t="str">
        <f t="shared" si="0"/>
        <v>Premium</v>
      </c>
    </row>
    <row r="6" spans="1:7" x14ac:dyDescent="0.35">
      <c r="A6" s="3">
        <v>5</v>
      </c>
      <c r="B6" s="4">
        <v>46298</v>
      </c>
      <c r="C6" s="3" t="s">
        <v>8</v>
      </c>
      <c r="D6" s="3" t="s">
        <v>2</v>
      </c>
      <c r="E6" s="3">
        <v>6</v>
      </c>
      <c r="F6" s="3">
        <v>25000</v>
      </c>
      <c r="G6" t="str">
        <f t="shared" si="0"/>
        <v>Premium</v>
      </c>
    </row>
    <row r="7" spans="1:7" x14ac:dyDescent="0.35">
      <c r="A7" s="3">
        <v>6</v>
      </c>
      <c r="B7" s="4">
        <v>46299</v>
      </c>
      <c r="C7" s="3" t="s">
        <v>7</v>
      </c>
      <c r="D7" s="3" t="s">
        <v>2</v>
      </c>
      <c r="E7" s="3">
        <v>15</v>
      </c>
      <c r="F7" s="3">
        <v>25000</v>
      </c>
      <c r="G7" t="str">
        <f t="shared" si="0"/>
        <v>Premium</v>
      </c>
    </row>
    <row r="8" spans="1:7" x14ac:dyDescent="0.35">
      <c r="A8" s="3">
        <v>7</v>
      </c>
      <c r="B8" s="4">
        <v>46300</v>
      </c>
      <c r="C8" s="3" t="s">
        <v>10</v>
      </c>
      <c r="D8" s="3" t="s">
        <v>9</v>
      </c>
      <c r="E8" s="3">
        <v>9</v>
      </c>
      <c r="F8" s="3">
        <v>20000</v>
      </c>
      <c r="G8" t="str">
        <f t="shared" si="0"/>
        <v>Biasa</v>
      </c>
    </row>
    <row r="9" spans="1:7" x14ac:dyDescent="0.35">
      <c r="A9" s="3">
        <v>8</v>
      </c>
      <c r="B9" s="4">
        <v>46300</v>
      </c>
      <c r="C9" s="3" t="s">
        <v>7</v>
      </c>
      <c r="D9" s="3" t="s">
        <v>9</v>
      </c>
      <c r="E9" s="3">
        <v>4</v>
      </c>
      <c r="F9" s="3">
        <v>20000</v>
      </c>
      <c r="G9" t="str">
        <f t="shared" si="0"/>
        <v>Biasa</v>
      </c>
    </row>
    <row r="10" spans="1:7" ht="29" x14ac:dyDescent="0.35">
      <c r="A10" s="6" t="s">
        <v>12</v>
      </c>
      <c r="B10" s="1"/>
      <c r="C10" s="1"/>
      <c r="D10" s="1"/>
      <c r="E10">
        <f>AVERAGE(E2:E9)</f>
        <v>8.625</v>
      </c>
    </row>
    <row r="11" spans="1:7" x14ac:dyDescent="0.35">
      <c r="A11" s="6" t="s">
        <v>13</v>
      </c>
      <c r="B11" s="1"/>
      <c r="C11" s="1"/>
      <c r="D11" s="1"/>
      <c r="F11">
        <f>SUM(F2:F9)</f>
        <v>180000</v>
      </c>
    </row>
    <row r="12" spans="1:7" ht="29" x14ac:dyDescent="0.35">
      <c r="A12" s="6" t="s">
        <v>14</v>
      </c>
      <c r="B12" s="1"/>
      <c r="D12" s="1"/>
      <c r="E12" s="1">
        <f>COUNT(E2:E9)</f>
        <v>8</v>
      </c>
    </row>
    <row r="13" spans="1:7" ht="29" x14ac:dyDescent="0.35">
      <c r="A13" s="6" t="s">
        <v>15</v>
      </c>
      <c r="C13">
        <f>COUNTIFS(C2:C9, "Jakarta")</f>
        <v>4</v>
      </c>
    </row>
    <row r="14" spans="1:7" ht="43.5" x14ac:dyDescent="0.35">
      <c r="A14" s="6" t="s">
        <v>16</v>
      </c>
      <c r="E14">
        <f>SUMIFS(E2:E9,C2:C9, "Jakarta")</f>
        <v>37</v>
      </c>
    </row>
    <row r="15" spans="1:7" ht="58" x14ac:dyDescent="0.35">
      <c r="A15" s="6" t="s">
        <v>17</v>
      </c>
      <c r="E15">
        <f>SUMIFS(E2:E9,C2:C9,"Jakarta",D2:D9,"Teh")</f>
        <v>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6AB6C-A5C0-4CAC-B929-5F7E39D87658}">
  <dimension ref="A3:D8"/>
  <sheetViews>
    <sheetView workbookViewId="0">
      <selection activeCell="A3" sqref="A3"/>
    </sheetView>
  </sheetViews>
  <sheetFormatPr defaultRowHeight="14.5" x14ac:dyDescent="0.35"/>
  <cols>
    <col min="1" max="1" width="12.453125" bestFit="1" customWidth="1"/>
    <col min="2" max="2" width="15.6328125" bestFit="1" customWidth="1"/>
    <col min="3" max="3" width="9.90625" bestFit="1" customWidth="1"/>
    <col min="4" max="5" width="11.453125" bestFit="1" customWidth="1"/>
    <col min="6" max="6" width="9.90625" bestFit="1" customWidth="1"/>
    <col min="7" max="7" width="11.1796875" bestFit="1" customWidth="1"/>
    <col min="8" max="8" width="10.36328125" bestFit="1" customWidth="1"/>
    <col min="9" max="9" width="9.90625" bestFit="1" customWidth="1"/>
    <col min="10" max="10" width="13.1796875" bestFit="1" customWidth="1"/>
    <col min="11" max="11" width="11.453125" bestFit="1" customWidth="1"/>
  </cols>
  <sheetData>
    <row r="3" spans="1:4" x14ac:dyDescent="0.35">
      <c r="A3" s="7" t="s">
        <v>21</v>
      </c>
      <c r="B3" s="7" t="s">
        <v>22</v>
      </c>
    </row>
    <row r="4" spans="1:4" x14ac:dyDescent="0.35">
      <c r="A4" s="7" t="s">
        <v>19</v>
      </c>
      <c r="B4" t="s">
        <v>2</v>
      </c>
      <c r="C4" t="s">
        <v>9</v>
      </c>
      <c r="D4" t="s">
        <v>20</v>
      </c>
    </row>
    <row r="5" spans="1:4" x14ac:dyDescent="0.35">
      <c r="A5" s="8" t="s">
        <v>8</v>
      </c>
      <c r="B5" s="9">
        <v>150000</v>
      </c>
      <c r="C5" s="9">
        <v>100000</v>
      </c>
      <c r="D5" s="9">
        <v>250000</v>
      </c>
    </row>
    <row r="6" spans="1:4" x14ac:dyDescent="0.35">
      <c r="A6" s="8" t="s">
        <v>7</v>
      </c>
      <c r="B6" s="9">
        <v>625000</v>
      </c>
      <c r="C6" s="9">
        <v>240000</v>
      </c>
      <c r="D6" s="9">
        <v>865000</v>
      </c>
    </row>
    <row r="7" spans="1:4" x14ac:dyDescent="0.35">
      <c r="A7" s="8" t="s">
        <v>10</v>
      </c>
      <c r="B7" s="9">
        <v>300000</v>
      </c>
      <c r="C7" s="9">
        <v>180000</v>
      </c>
      <c r="D7" s="9">
        <v>480000</v>
      </c>
    </row>
    <row r="8" spans="1:4" x14ac:dyDescent="0.35">
      <c r="A8" s="8" t="s">
        <v>20</v>
      </c>
      <c r="B8" s="9">
        <v>1075000</v>
      </c>
      <c r="C8" s="9">
        <v>520000</v>
      </c>
      <c r="D8" s="9">
        <v>1595000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AE069-DCDB-40EF-9974-6F0E198F050D}">
  <dimension ref="A3:B6"/>
  <sheetViews>
    <sheetView tabSelected="1" workbookViewId="0">
      <selection activeCell="A3" sqref="A3"/>
    </sheetView>
  </sheetViews>
  <sheetFormatPr defaultRowHeight="14.5" x14ac:dyDescent="0.35"/>
  <cols>
    <col min="1" max="1" width="14.26953125" bestFit="1" customWidth="1"/>
    <col min="2" max="2" width="11.08984375" bestFit="1" customWidth="1"/>
  </cols>
  <sheetData>
    <row r="3" spans="1:2" x14ac:dyDescent="0.35">
      <c r="A3" s="7" t="s">
        <v>19</v>
      </c>
      <c r="B3" t="s">
        <v>21</v>
      </c>
    </row>
    <row r="4" spans="1:2" x14ac:dyDescent="0.35">
      <c r="A4" s="8" t="s">
        <v>25</v>
      </c>
      <c r="B4" s="10">
        <v>520000</v>
      </c>
    </row>
    <row r="5" spans="1:2" x14ac:dyDescent="0.35">
      <c r="A5" s="8" t="s">
        <v>24</v>
      </c>
      <c r="B5" s="10">
        <v>1075000</v>
      </c>
    </row>
    <row r="6" spans="1:2" x14ac:dyDescent="0.35">
      <c r="A6" s="8" t="s">
        <v>20</v>
      </c>
      <c r="B6" s="10">
        <v>1595000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D243C-E151-457A-B3BB-E25F7D934964}">
  <dimension ref="A1:N9"/>
  <sheetViews>
    <sheetView zoomScaleNormal="100" workbookViewId="0">
      <selection activeCell="G13" sqref="G13"/>
    </sheetView>
  </sheetViews>
  <sheetFormatPr defaultRowHeight="14.5" x14ac:dyDescent="0.35"/>
  <cols>
    <col min="2" max="2" width="9.90625" customWidth="1"/>
    <col min="8" max="8" width="14.26953125" customWidth="1"/>
    <col min="10" max="10" width="15.26953125" customWidth="1"/>
    <col min="12" max="12" width="11.81640625" customWidth="1"/>
    <col min="14" max="14" width="11.54296875" customWidth="1"/>
  </cols>
  <sheetData>
    <row r="1" spans="1:14" x14ac:dyDescent="0.35">
      <c r="A1" s="2" t="s">
        <v>3</v>
      </c>
      <c r="B1" s="2" t="s">
        <v>4</v>
      </c>
      <c r="C1" s="2" t="s">
        <v>5</v>
      </c>
      <c r="D1" s="2" t="s">
        <v>0</v>
      </c>
      <c r="E1" s="2" t="s">
        <v>6</v>
      </c>
      <c r="F1" s="2" t="s">
        <v>1</v>
      </c>
      <c r="G1" s="5" t="s">
        <v>18</v>
      </c>
      <c r="H1" s="5" t="s">
        <v>23</v>
      </c>
      <c r="I1" s="5" t="s">
        <v>0</v>
      </c>
      <c r="J1" s="5" t="s">
        <v>23</v>
      </c>
      <c r="L1" s="5" t="s">
        <v>26</v>
      </c>
      <c r="M1" s="5" t="s">
        <v>27</v>
      </c>
      <c r="N1" s="5" t="s">
        <v>26</v>
      </c>
    </row>
    <row r="2" spans="1:14" x14ac:dyDescent="0.35">
      <c r="A2" s="3">
        <v>1</v>
      </c>
      <c r="B2" s="4">
        <v>46296</v>
      </c>
      <c r="C2" s="3" t="s">
        <v>7</v>
      </c>
      <c r="D2" s="3" t="s">
        <v>2</v>
      </c>
      <c r="E2" s="3">
        <v>10</v>
      </c>
      <c r="F2" s="3">
        <v>25000</v>
      </c>
      <c r="G2">
        <f>E2*F2</f>
        <v>250000</v>
      </c>
      <c r="H2" t="str">
        <f>_xlfn.XLOOKUP(D2,$I$2:$I$3,$J$2:$J$3)</f>
        <v>Minuman panas</v>
      </c>
      <c r="I2" s="3" t="s">
        <v>2</v>
      </c>
      <c r="J2" t="s">
        <v>24</v>
      </c>
      <c r="L2">
        <f>_xlfn.XLOOKUP(C2,$M$2:$M$4,$N$2:$N$4)</f>
        <v>25000</v>
      </c>
      <c r="M2" t="s">
        <v>7</v>
      </c>
      <c r="N2">
        <v>25000</v>
      </c>
    </row>
    <row r="3" spans="1:14" x14ac:dyDescent="0.35">
      <c r="A3" s="3">
        <v>2</v>
      </c>
      <c r="B3" s="4">
        <v>46296</v>
      </c>
      <c r="C3" s="3" t="s">
        <v>8</v>
      </c>
      <c r="D3" s="3" t="s">
        <v>9</v>
      </c>
      <c r="E3" s="3">
        <v>5</v>
      </c>
      <c r="F3" s="3">
        <v>20000</v>
      </c>
      <c r="G3">
        <f t="shared" ref="G3:G9" si="0">E3*F3</f>
        <v>100000</v>
      </c>
      <c r="H3" t="str">
        <f t="shared" ref="H3:H9" si="1">_xlfn.XLOOKUP(D3,$I$2:$I$3,$J$2:$J$3)</f>
        <v>Minuman hangat</v>
      </c>
      <c r="I3" s="3" t="s">
        <v>9</v>
      </c>
      <c r="J3" t="s">
        <v>25</v>
      </c>
      <c r="L3">
        <f t="shared" ref="L3:L4" si="2">_xlfn.XLOOKUP(C3,$M$2:$M$4,$N$2:$N$4)</f>
        <v>20000</v>
      </c>
      <c r="M3" t="s">
        <v>8</v>
      </c>
      <c r="N3">
        <v>20000</v>
      </c>
    </row>
    <row r="4" spans="1:14" x14ac:dyDescent="0.35">
      <c r="A4" s="3">
        <v>3</v>
      </c>
      <c r="B4" s="4">
        <v>46297</v>
      </c>
      <c r="C4" s="3" t="s">
        <v>7</v>
      </c>
      <c r="D4" s="3" t="s">
        <v>9</v>
      </c>
      <c r="E4" s="3">
        <v>8</v>
      </c>
      <c r="F4" s="3">
        <v>20000</v>
      </c>
      <c r="G4">
        <f t="shared" si="0"/>
        <v>160000</v>
      </c>
      <c r="H4" t="str">
        <f t="shared" si="1"/>
        <v>Minuman hangat</v>
      </c>
      <c r="I4" s="3"/>
      <c r="L4">
        <f t="shared" si="2"/>
        <v>25000</v>
      </c>
      <c r="M4" t="s">
        <v>10</v>
      </c>
      <c r="N4">
        <v>25000</v>
      </c>
    </row>
    <row r="5" spans="1:14" x14ac:dyDescent="0.35">
      <c r="A5" s="3">
        <v>4</v>
      </c>
      <c r="B5" s="4">
        <v>46298</v>
      </c>
      <c r="C5" s="3" t="s">
        <v>10</v>
      </c>
      <c r="D5" s="3" t="s">
        <v>2</v>
      </c>
      <c r="E5" s="3">
        <v>12</v>
      </c>
      <c r="F5" s="3">
        <v>25000</v>
      </c>
      <c r="G5">
        <f t="shared" si="0"/>
        <v>300000</v>
      </c>
      <c r="H5" t="str">
        <f t="shared" si="1"/>
        <v>Minuman panas</v>
      </c>
      <c r="I5" s="3"/>
    </row>
    <row r="6" spans="1:14" x14ac:dyDescent="0.35">
      <c r="A6" s="3">
        <v>5</v>
      </c>
      <c r="B6" s="4">
        <v>46298</v>
      </c>
      <c r="C6" s="3" t="s">
        <v>8</v>
      </c>
      <c r="D6" s="3" t="s">
        <v>2</v>
      </c>
      <c r="E6" s="3">
        <v>6</v>
      </c>
      <c r="F6" s="3">
        <v>25000</v>
      </c>
      <c r="G6">
        <f t="shared" si="0"/>
        <v>150000</v>
      </c>
      <c r="H6" t="str">
        <f t="shared" si="1"/>
        <v>Minuman panas</v>
      </c>
      <c r="I6" s="3"/>
    </row>
    <row r="7" spans="1:14" x14ac:dyDescent="0.35">
      <c r="A7" s="3">
        <v>6</v>
      </c>
      <c r="B7" s="4">
        <v>46299</v>
      </c>
      <c r="C7" s="3" t="s">
        <v>7</v>
      </c>
      <c r="D7" s="3" t="s">
        <v>2</v>
      </c>
      <c r="E7" s="3">
        <v>15</v>
      </c>
      <c r="F7" s="3">
        <v>25000</v>
      </c>
      <c r="G7">
        <f t="shared" si="0"/>
        <v>375000</v>
      </c>
      <c r="H7" t="str">
        <f t="shared" si="1"/>
        <v>Minuman panas</v>
      </c>
      <c r="I7" s="3"/>
    </row>
    <row r="8" spans="1:14" x14ac:dyDescent="0.35">
      <c r="A8" s="3">
        <v>7</v>
      </c>
      <c r="B8" s="4">
        <v>46300</v>
      </c>
      <c r="C8" s="3" t="s">
        <v>10</v>
      </c>
      <c r="D8" s="3" t="s">
        <v>9</v>
      </c>
      <c r="E8" s="3">
        <v>9</v>
      </c>
      <c r="F8" s="3">
        <v>20000</v>
      </c>
      <c r="G8">
        <f t="shared" si="0"/>
        <v>180000</v>
      </c>
      <c r="H8" t="str">
        <f t="shared" si="1"/>
        <v>Minuman hangat</v>
      </c>
      <c r="I8" s="3"/>
    </row>
    <row r="9" spans="1:14" x14ac:dyDescent="0.35">
      <c r="A9" s="3">
        <v>8</v>
      </c>
      <c r="B9" s="4">
        <v>46300</v>
      </c>
      <c r="C9" s="3" t="s">
        <v>7</v>
      </c>
      <c r="D9" s="3" t="s">
        <v>9</v>
      </c>
      <c r="E9" s="3">
        <v>4</v>
      </c>
      <c r="F9" s="3">
        <v>20000</v>
      </c>
      <c r="G9">
        <f t="shared" si="0"/>
        <v>80000</v>
      </c>
      <c r="H9" t="str">
        <f t="shared" si="1"/>
        <v>Minuman hangat</v>
      </c>
      <c r="I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ricky isnandar</dc:creator>
  <cp:lastModifiedBy>ricky isnandar</cp:lastModifiedBy>
  <dcterms:created xsi:type="dcterms:W3CDTF">2026-10-24T09:47:27Z</dcterms:created>
  <dcterms:modified xsi:type="dcterms:W3CDTF">2026-10-25T01:54:29Z</dcterms:modified>
</cp:coreProperties>
</file>