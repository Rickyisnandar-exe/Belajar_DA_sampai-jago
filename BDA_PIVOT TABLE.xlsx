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lajar_Da\"/>
    </mc:Choice>
  </mc:AlternateContent>
  <xr:revisionPtr revIDLastSave="0" documentId="13_ncr:1_{4548E3F6-05B8-4992-A5DA-0BBF3F581677}" xr6:coauthVersionLast="47" xr6:coauthVersionMax="47" xr10:uidLastSave="{00000000-0000-0000-0000-000000000000}"/>
  <bookViews>
    <workbookView xWindow="-110" yWindow="-110" windowWidth="19420" windowHeight="11500" activeTab="1" xr2:uid="{BC1BE3AD-073B-4A4B-A499-643FABCD3702}"/>
  </bookViews>
  <sheets>
    <sheet name="Sheet1" sheetId="1" r:id="rId1"/>
    <sheet name="Sheet3" sheetId="3" r:id="rId2"/>
    <sheet name="Sheet4" sheetId="4" r:id="rId3"/>
    <sheet name="Sheet2" sheetId="2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2" i="1"/>
  <c r="C13" i="1"/>
  <c r="C11" i="1"/>
  <c r="C3" i="1"/>
  <c r="C2" i="1"/>
  <c r="C4" i="1"/>
</calcChain>
</file>

<file path=xl/sharedStrings.xml><?xml version="1.0" encoding="utf-8"?>
<sst xmlns="http://schemas.openxmlformats.org/spreadsheetml/2006/main" count="89" uniqueCount="51">
  <si>
    <t>Baris</t>
  </si>
  <si>
    <t>Kolom A (Kode)</t>
  </si>
  <si>
    <t>B02</t>
  </si>
  <si>
    <t>B01</t>
  </si>
  <si>
    <t>B03</t>
  </si>
  <si>
    <t>Kolom E (Kode) - Kolom 1</t>
  </si>
  <si>
    <t>Kolom F (Nama Barang) - Kolom 2</t>
  </si>
  <si>
    <t>Kolom G (Harga) - Kolom 3</t>
  </si>
  <si>
    <t>Laptop</t>
  </si>
  <si>
    <t>Mouse</t>
  </si>
  <si>
    <t>Keyboard</t>
  </si>
  <si>
    <t>Harga barang</t>
  </si>
  <si>
    <t>Kolom B</t>
  </si>
  <si>
    <t>Kolom C</t>
  </si>
  <si>
    <t>Baris 1</t>
  </si>
  <si>
    <t>Kode Barang</t>
  </si>
  <si>
    <t>Harga Barang</t>
  </si>
  <si>
    <t>Baris 2</t>
  </si>
  <si>
    <t>Baris 3</t>
  </si>
  <si>
    <t>Baris 4</t>
  </si>
  <si>
    <t>Kolom F</t>
  </si>
  <si>
    <t>Kolom G</t>
  </si>
  <si>
    <t>Kolom H</t>
  </si>
  <si>
    <t>Kolom d</t>
  </si>
  <si>
    <t>Kolom E )</t>
  </si>
  <si>
    <r>
      <t>Kode</t>
    </r>
    <r>
      <rPr>
        <sz val="11"/>
        <color theme="1"/>
        <rFont val="Arial"/>
        <family val="2"/>
      </rPr>
      <t xml:space="preserve"> </t>
    </r>
  </si>
  <si>
    <r>
      <t>Nama</t>
    </r>
    <r>
      <rPr>
        <sz val="11"/>
        <color theme="1"/>
        <rFont val="Arial"/>
        <family val="2"/>
      </rPr>
      <t xml:space="preserve"> </t>
    </r>
  </si>
  <si>
    <r>
      <t>Harga</t>
    </r>
    <r>
      <rPr>
        <sz val="11"/>
        <color theme="1"/>
        <rFont val="Arial"/>
        <family val="2"/>
      </rPr>
      <t xml:space="preserve"> </t>
    </r>
  </si>
  <si>
    <t>TRX001</t>
  </si>
  <si>
    <t>BRG-02</t>
  </si>
  <si>
    <t>TRX002</t>
  </si>
  <si>
    <t>BRG-01</t>
  </si>
  <si>
    <t>ID Transaksi</t>
  </si>
  <si>
    <t xml:space="preserve"> Harga Satuan</t>
  </si>
  <si>
    <t>Mouse Wireless</t>
  </si>
  <si>
    <t>BRG-03</t>
  </si>
  <si>
    <t>Keyboard Mechanical</t>
  </si>
  <si>
    <t>Nama Barang</t>
  </si>
  <si>
    <t>Harga Asli</t>
  </si>
  <si>
    <t>Jakarta</t>
  </si>
  <si>
    <t>Bandung</t>
  </si>
  <si>
    <t>Surabaya</t>
  </si>
  <si>
    <t>Tanggal</t>
  </si>
  <si>
    <t>Cabang</t>
  </si>
  <si>
    <t>Jumlah Terjual</t>
  </si>
  <si>
    <t>Total Harga</t>
  </si>
  <si>
    <t>Row Labels</t>
  </si>
  <si>
    <t>Grand Total</t>
  </si>
  <si>
    <t>Sum of Total Harga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</si>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</sst>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0" fillId="0" borderId="0" xfId="0" applyNumberFormat="1"/>
    <xf numFmtId="3" fontId="1" fillId="0" borderId="1" xfId="0" applyNumberFormat="1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[BDA_PIVOT TABLE.xlsx]Sheet3!PivotTable1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Bandung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Sheet3!$B$5:$B$8</c:f>
              <c:numCache>
                <c:formatCode>#,##0</c:formatCode>
                <c:ptCount val="3"/>
                <c:pt idx="1">
                  <c:v>7500000</c:v>
                </c:pt>
                <c:pt idx="2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5-47FC-AE18-2F272B80BE3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Sheet3!$C$5:$C$8</c:f>
              <c:numCache>
                <c:formatCode>#,##0</c:formatCode>
                <c:ptCount val="3"/>
                <c:pt idx="0">
                  <c:v>1350000</c:v>
                </c:pt>
                <c:pt idx="2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5-47FC-AE18-2F272B80BE3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Surabaya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Sheet3!$D$5:$D$8</c:f>
              <c:numCache>
                <c:formatCode>#,##0</c:formatCode>
                <c:ptCount val="3"/>
                <c:pt idx="2">
                  <c:v>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5-47FC-AE18-2F272B80B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10399"/>
        <c:axId val="1186617119"/>
      </c:barChart>
      <c:catAx>
        <c:axId val="118661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6617119"/>
        <c:crosses val="autoZero"/>
        <c:auto val="1"/>
        <c:lblAlgn val="ctr"/>
        <c:lblOffset val="100"/>
        <c:noMultiLvlLbl val="0"/>
      </c:catAx>
      <c:valAx>
        <c:axId val="11866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66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9</xdr:row>
      <xdr:rowOff>3175</xdr:rowOff>
    </xdr:from>
    <xdr:to>
      <xdr:col>10</xdr:col>
      <xdr:colOff>31750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F8196-B63F-5FC3-8988-61A752913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LAPTOP" refreshedDate="46320.717839930556" createdVersion="8" refreshedVersion="8" minRefreshableVersion="3" recordCount="5" xr:uid="{18E11BCE-6C07-42F2-B627-256A61751809}">
  <cacheSource type="worksheet">
    <worksheetSource ref="A1:E6" sheet="Sheet2"/>
  </cacheSource>
  <cacheFields count="5">
    <cacheField name="Tanggal" numFmtId="14">
      <sharedItems containsSemiMixedTypes="0" containsNonDate="0" containsDate="1" containsString="0" minDate="2026-10-01T00:00:00" maxDate="2026-10-04T00:00:00" count="3">
        <d v="2026-10-01T00:00:00"/>
        <d v="2026-10-02T00:00:00"/>
        <d v="2026-10-03T00:00:00"/>
      </sharedItems>
    </cacheField>
    <cacheField name="Cabang" numFmtId="0">
      <sharedItems count="3">
        <s v="Jakarta"/>
        <s v="Bandung"/>
        <s v="Surabaya"/>
      </sharedItems>
    </cacheField>
    <cacheField name="Nama Barang" numFmtId="0">
      <sharedItems count="3">
        <s v="Mouse"/>
        <s v="Laptop"/>
        <s v="Keyboard"/>
      </sharedItems>
    </cacheField>
    <cacheField name="Jumlah Terjual" numFmtId="0">
      <sharedItems containsSemiMixedTypes="0" containsString="0" containsNumber="1" containsInteger="1" minValue="1" maxValue="5"/>
    </cacheField>
    <cacheField name="Total Harga" numFmtId="3">
      <sharedItems containsSemiMixedTypes="0" containsString="0" containsNumber="1" containsInteger="1" minValue="300000" maxValue="7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2"/>
    <n v="300000"/>
  </r>
  <r>
    <x v="0"/>
    <x v="1"/>
    <x v="1"/>
    <n v="1"/>
    <n v="7500000"/>
  </r>
  <r>
    <x v="1"/>
    <x v="0"/>
    <x v="2"/>
    <n v="3"/>
    <n v="1350000"/>
  </r>
  <r>
    <x v="1"/>
    <x v="2"/>
    <x v="0"/>
    <n v="5"/>
    <n v="750000"/>
  </r>
  <r>
    <x v="2"/>
    <x v="1"/>
    <x v="0"/>
    <n v="2"/>
    <n v="3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8D62E-16EB-4464-9852-DF31575E30C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 rowPageCount="1" colPageCount="1"/>
  <pivotFields count="5">
    <pivotField axis="axisPage" numFmtId="14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numFmtId="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Total Harga" fld="4" baseField="0" baseItem="0" numFmtId="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178C-15C0-44F2-8635-9734253E01C6}">
  <dimension ref="A1:H21"/>
  <sheetViews>
    <sheetView topLeftCell="A20" workbookViewId="0">
      <selection activeCell="A23" sqref="A23"/>
    </sheetView>
  </sheetViews>
  <sheetFormatPr defaultRowHeight="14.5" x14ac:dyDescent="0.35"/>
  <cols>
    <col min="1" max="1" width="16.7265625" customWidth="1"/>
    <col min="2" max="2" width="11.7265625" customWidth="1"/>
    <col min="3" max="3" width="14.90625" customWidth="1"/>
    <col min="6" max="6" width="15.1796875" customWidth="1"/>
    <col min="7" max="7" width="12.6328125" customWidth="1"/>
    <col min="8" max="8" width="12.81640625" customWidth="1"/>
  </cols>
  <sheetData>
    <row r="1" spans="1:8" ht="70.5" thickBot="1" x14ac:dyDescent="0.4">
      <c r="A1" s="1" t="s">
        <v>0</v>
      </c>
      <c r="B1" s="1" t="s">
        <v>1</v>
      </c>
      <c r="C1" s="1" t="s">
        <v>11</v>
      </c>
      <c r="D1" s="1" t="s">
        <v>0</v>
      </c>
      <c r="E1" s="1" t="s">
        <v>5</v>
      </c>
      <c r="F1" s="1" t="s">
        <v>6</v>
      </c>
      <c r="G1" s="1" t="s">
        <v>7</v>
      </c>
    </row>
    <row r="2" spans="1:8" ht="15" thickBot="1" x14ac:dyDescent="0.4">
      <c r="A2" s="1">
        <v>2</v>
      </c>
      <c r="B2" s="2" t="s">
        <v>2</v>
      </c>
      <c r="C2" s="3">
        <f>VLOOKUP(B2,$E$2:$G$4, 3, 0)</f>
        <v>150000</v>
      </c>
      <c r="D2" s="1">
        <v>2</v>
      </c>
      <c r="E2" s="2" t="s">
        <v>3</v>
      </c>
      <c r="F2" s="2" t="s">
        <v>8</v>
      </c>
      <c r="G2" s="5">
        <v>7500000</v>
      </c>
    </row>
    <row r="3" spans="1:8" ht="15" thickBot="1" x14ac:dyDescent="0.4">
      <c r="A3" s="1">
        <v>3</v>
      </c>
      <c r="B3" s="2" t="s">
        <v>3</v>
      </c>
      <c r="C3" s="3">
        <f>VLOOKUP(B3,$E$2:$G$4, 3, 0)</f>
        <v>7500000</v>
      </c>
      <c r="D3" s="1">
        <v>3</v>
      </c>
      <c r="E3" s="2" t="s">
        <v>2</v>
      </c>
      <c r="F3" s="2" t="s">
        <v>9</v>
      </c>
      <c r="G3" s="5">
        <v>150000</v>
      </c>
    </row>
    <row r="4" spans="1:8" ht="15" thickBot="1" x14ac:dyDescent="0.4">
      <c r="A4" s="1">
        <v>4</v>
      </c>
      <c r="B4" s="2" t="s">
        <v>4</v>
      </c>
      <c r="C4" s="3">
        <f>VLOOKUP(B4,$E$2:$G$4, 3, 0)</f>
        <v>450000</v>
      </c>
      <c r="D4" s="1">
        <v>4</v>
      </c>
      <c r="E4" s="2" t="s">
        <v>4</v>
      </c>
      <c r="F4" s="2" t="s">
        <v>10</v>
      </c>
      <c r="G4" s="5">
        <v>450000</v>
      </c>
    </row>
    <row r="8" spans="1:8" ht="15" thickBot="1" x14ac:dyDescent="0.4"/>
    <row r="9" spans="1:8" ht="28.5" thickBot="1" x14ac:dyDescent="0.4">
      <c r="A9" s="1" t="s">
        <v>0</v>
      </c>
      <c r="B9" s="1" t="s">
        <v>12</v>
      </c>
      <c r="C9" s="1" t="s">
        <v>13</v>
      </c>
      <c r="D9" s="1" t="s">
        <v>23</v>
      </c>
      <c r="E9" s="1" t="s">
        <v>24</v>
      </c>
      <c r="F9" s="1" t="s">
        <v>20</v>
      </c>
      <c r="G9" s="1" t="s">
        <v>21</v>
      </c>
      <c r="H9" s="1" t="s">
        <v>22</v>
      </c>
    </row>
    <row r="10" spans="1:8" ht="28.5" thickBot="1" x14ac:dyDescent="0.4">
      <c r="A10" s="1" t="s">
        <v>14</v>
      </c>
      <c r="B10" s="1" t="s">
        <v>15</v>
      </c>
      <c r="C10" s="1" t="s">
        <v>16</v>
      </c>
      <c r="D10" s="1" t="s">
        <v>14</v>
      </c>
      <c r="E10" s="1" t="s">
        <v>25</v>
      </c>
      <c r="F10" s="2" t="s">
        <v>3</v>
      </c>
      <c r="G10" s="2" t="s">
        <v>2</v>
      </c>
      <c r="H10" s="2" t="s">
        <v>4</v>
      </c>
    </row>
    <row r="11" spans="1:8" ht="15" thickBot="1" x14ac:dyDescent="0.4">
      <c r="A11" s="1" t="s">
        <v>17</v>
      </c>
      <c r="B11" s="2" t="s">
        <v>2</v>
      </c>
      <c r="C11" s="3">
        <f>HLOOKUP(B11,$F$10:$H$12, 3, 0)</f>
        <v>150000</v>
      </c>
      <c r="D11" s="1" t="s">
        <v>17</v>
      </c>
      <c r="E11" s="1" t="s">
        <v>26</v>
      </c>
      <c r="F11" s="2" t="s">
        <v>8</v>
      </c>
      <c r="G11" s="2" t="s">
        <v>9</v>
      </c>
      <c r="H11" s="2" t="s">
        <v>10</v>
      </c>
    </row>
    <row r="12" spans="1:8" ht="15" thickBot="1" x14ac:dyDescent="0.4">
      <c r="A12" s="1" t="s">
        <v>18</v>
      </c>
      <c r="B12" s="2" t="s">
        <v>3</v>
      </c>
      <c r="C12" s="3">
        <f t="shared" ref="C12:C13" si="0">HLOOKUP(B12,$F$10:$H$12, 3, 0)</f>
        <v>7500000</v>
      </c>
      <c r="D12" s="1" t="s">
        <v>18</v>
      </c>
      <c r="E12" s="1" t="s">
        <v>27</v>
      </c>
      <c r="F12" s="5">
        <v>7500000</v>
      </c>
      <c r="G12" s="5">
        <v>150000</v>
      </c>
      <c r="H12" s="5">
        <v>450000</v>
      </c>
    </row>
    <row r="13" spans="1:8" ht="15" thickBot="1" x14ac:dyDescent="0.4">
      <c r="A13" s="1" t="s">
        <v>19</v>
      </c>
      <c r="B13" s="2" t="s">
        <v>4</v>
      </c>
      <c r="C13" s="3">
        <f t="shared" si="0"/>
        <v>450000</v>
      </c>
    </row>
    <row r="17" spans="1:6" ht="15" thickBot="1" x14ac:dyDescent="0.4"/>
    <row r="18" spans="1:6" ht="28.5" thickBot="1" x14ac:dyDescent="0.4">
      <c r="A18" s="1" t="s">
        <v>32</v>
      </c>
      <c r="B18" s="1" t="s">
        <v>15</v>
      </c>
      <c r="C18" s="1" t="s">
        <v>33</v>
      </c>
      <c r="D18" s="1" t="s">
        <v>15</v>
      </c>
      <c r="E18" s="1" t="s">
        <v>37</v>
      </c>
      <c r="F18" s="1" t="s">
        <v>38</v>
      </c>
    </row>
    <row r="19" spans="1:6" ht="28.5" thickBot="1" x14ac:dyDescent="0.4">
      <c r="A19" s="2" t="s">
        <v>28</v>
      </c>
      <c r="B19" s="1" t="s">
        <v>29</v>
      </c>
      <c r="C19" s="3">
        <f>_xlfn.XLOOKUP(B19,$D$19:$D$21,$F$19:$F$21)</f>
        <v>150000</v>
      </c>
      <c r="D19" s="2" t="s">
        <v>31</v>
      </c>
      <c r="E19" s="2" t="s">
        <v>8</v>
      </c>
      <c r="F19" s="5">
        <v>7500000</v>
      </c>
    </row>
    <row r="20" spans="1:6" ht="42.5" thickBot="1" x14ac:dyDescent="0.4">
      <c r="A20" s="2" t="s">
        <v>30</v>
      </c>
      <c r="B20" s="1" t="s">
        <v>31</v>
      </c>
      <c r="C20" s="3">
        <f>_xlfn.XLOOKUP(B20,$D$19:$D$21,$F$19:$F$21)</f>
        <v>7500000</v>
      </c>
      <c r="D20" s="2" t="s">
        <v>29</v>
      </c>
      <c r="E20" s="2" t="s">
        <v>34</v>
      </c>
      <c r="F20" s="5">
        <v>150000</v>
      </c>
    </row>
    <row r="21" spans="1:6" ht="56.5" thickBot="1" x14ac:dyDescent="0.4">
      <c r="D21" s="2" t="s">
        <v>35</v>
      </c>
      <c r="E21" s="2" t="s">
        <v>36</v>
      </c>
      <c r="F21" s="5">
        <v>450000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CAB-91D6-4ED9-A91A-A04D3A592ED7}">
  <dimension ref="A1:E8"/>
  <sheetViews>
    <sheetView tabSelected="1" workbookViewId="0">
      <selection activeCell="K14" sqref="K14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3" width="8.90625" bestFit="1" customWidth="1"/>
    <col min="4" max="4" width="8.6328125" bestFit="1" customWidth="1"/>
    <col min="5" max="5" width="10.36328125" bestFit="1" customWidth="1"/>
  </cols>
  <sheetData>
    <row r="1" spans="1:5" x14ac:dyDescent="0.35">
      <c r="A1" s="7" t="s">
        <v>42</v>
      </c>
      <c r="B1" t="s">
        <v>50</v>
      </c>
    </row>
    <row r="3" spans="1:5" x14ac:dyDescent="0.35">
      <c r="A3" s="7" t="s">
        <v>48</v>
      </c>
      <c r="B3" s="7" t="s">
        <v>49</v>
      </c>
    </row>
    <row r="4" spans="1:5" x14ac:dyDescent="0.35">
      <c r="A4" s="7" t="s">
        <v>46</v>
      </c>
      <c r="B4" t="s">
        <v>40</v>
      </c>
      <c r="C4" t="s">
        <v>39</v>
      </c>
      <c r="D4" t="s">
        <v>41</v>
      </c>
      <c r="E4" t="s">
        <v>47</v>
      </c>
    </row>
    <row r="5" spans="1:5" x14ac:dyDescent="0.35">
      <c r="A5" s="8" t="s">
        <v>10</v>
      </c>
      <c r="B5" s="4"/>
      <c r="C5" s="4">
        <v>1350000</v>
      </c>
      <c r="D5" s="4"/>
      <c r="E5" s="4">
        <v>1350000</v>
      </c>
    </row>
    <row r="6" spans="1:5" x14ac:dyDescent="0.35">
      <c r="A6" s="8" t="s">
        <v>8</v>
      </c>
      <c r="B6" s="4">
        <v>7500000</v>
      </c>
      <c r="C6" s="4"/>
      <c r="D6" s="4"/>
      <c r="E6" s="4">
        <v>7500000</v>
      </c>
    </row>
    <row r="7" spans="1:5" x14ac:dyDescent="0.35">
      <c r="A7" s="8" t="s">
        <v>9</v>
      </c>
      <c r="B7" s="4">
        <v>300000</v>
      </c>
      <c r="C7" s="4">
        <v>300000</v>
      </c>
      <c r="D7" s="4">
        <v>750000</v>
      </c>
      <c r="E7" s="4">
        <v>1350000</v>
      </c>
    </row>
    <row r="8" spans="1:5" x14ac:dyDescent="0.35">
      <c r="A8" s="8" t="s">
        <v>47</v>
      </c>
      <c r="B8" s="4">
        <v>7800000</v>
      </c>
      <c r="C8" s="4">
        <v>1650000</v>
      </c>
      <c r="D8" s="4">
        <v>750000</v>
      </c>
      <c r="E8" s="4">
        <v>10200000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6F46-C8EE-4852-8174-29313D590D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78DA-25B7-44BC-88ED-B6A421FC4E4C}">
  <dimension ref="A1:E6"/>
  <sheetViews>
    <sheetView workbookViewId="0">
      <selection activeCell="B13" sqref="B13"/>
    </sheetView>
  </sheetViews>
  <sheetFormatPr defaultRowHeight="14.5" x14ac:dyDescent="0.35"/>
  <cols>
    <col min="1" max="1" width="12.26953125" customWidth="1"/>
    <col min="2" max="2" width="16.7265625" customWidth="1"/>
    <col min="3" max="3" width="15.08984375" customWidth="1"/>
    <col min="4" max="4" width="11.1796875" customWidth="1"/>
    <col min="5" max="5" width="17.1796875" customWidth="1"/>
  </cols>
  <sheetData>
    <row r="1" spans="1:5" ht="28.5" thickBot="1" x14ac:dyDescent="0.4">
      <c r="A1" s="1" t="s">
        <v>42</v>
      </c>
      <c r="B1" s="1" t="s">
        <v>43</v>
      </c>
      <c r="C1" s="1" t="s">
        <v>37</v>
      </c>
      <c r="D1" s="1" t="s">
        <v>44</v>
      </c>
      <c r="E1" s="1" t="s">
        <v>45</v>
      </c>
    </row>
    <row r="2" spans="1:5" ht="15" thickBot="1" x14ac:dyDescent="0.4">
      <c r="A2" s="6">
        <v>46296</v>
      </c>
      <c r="B2" s="2" t="s">
        <v>39</v>
      </c>
      <c r="C2" s="2" t="s">
        <v>9</v>
      </c>
      <c r="D2" s="2">
        <v>2</v>
      </c>
      <c r="E2" s="5">
        <v>300000</v>
      </c>
    </row>
    <row r="3" spans="1:5" ht="28.5" thickBot="1" x14ac:dyDescent="0.4">
      <c r="A3" s="6">
        <v>46296</v>
      </c>
      <c r="B3" s="2" t="s">
        <v>40</v>
      </c>
      <c r="C3" s="2" t="s">
        <v>8</v>
      </c>
      <c r="D3" s="2">
        <v>1</v>
      </c>
      <c r="E3" s="5">
        <v>7500000</v>
      </c>
    </row>
    <row r="4" spans="1:5" ht="28.5" thickBot="1" x14ac:dyDescent="0.4">
      <c r="A4" s="6">
        <v>46297</v>
      </c>
      <c r="B4" s="2" t="s">
        <v>39</v>
      </c>
      <c r="C4" s="2" t="s">
        <v>10</v>
      </c>
      <c r="D4" s="2">
        <v>3</v>
      </c>
      <c r="E4" s="5">
        <v>1350000</v>
      </c>
    </row>
    <row r="5" spans="1:5" ht="28.5" thickBot="1" x14ac:dyDescent="0.4">
      <c r="A5" s="6">
        <v>46297</v>
      </c>
      <c r="B5" s="2" t="s">
        <v>41</v>
      </c>
      <c r="C5" s="2" t="s">
        <v>9</v>
      </c>
      <c r="D5" s="2">
        <v>5</v>
      </c>
      <c r="E5" s="5">
        <v>750000</v>
      </c>
    </row>
    <row r="6" spans="1:5" ht="28.5" thickBot="1" x14ac:dyDescent="0.4">
      <c r="A6" s="6">
        <v>46298</v>
      </c>
      <c r="B6" s="2" t="s">
        <v>40</v>
      </c>
      <c r="C6" s="2" t="s">
        <v>9</v>
      </c>
      <c r="D6" s="2">
        <v>2</v>
      </c>
      <c r="E6" s="5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isnandar</dc:creator>
  <cp:lastModifiedBy>ricky isnandar</cp:lastModifiedBy>
  <dcterms:created xsi:type="dcterms:W3CDTF">2026-10-25T09:32:47Z</dcterms:created>
  <dcterms:modified xsi:type="dcterms:W3CDTF">2026-10-25T12:25:54Z</dcterms:modified>
</cp:coreProperties>
</file>